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rav og timer" sheetId="1" state="visible" r:id="rId3"/>
    <sheet name="Ug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<sst xmlns="http://schemas.openxmlformats.org/spreadsheetml/2006/main" count="96" uniqueCount="79">
  <si>
    <t xml:space="preserve">Tidsestimat efter MoSCoW – MUD-spil: Bliv den stærkeste troldmand</t>
  </si>
  <si>
    <t xml:space="preserve">Timer = programmeringstimer for én studerende på mellemniveau. Blå tal er estimater og kan rettes; totaler opdateres automatisk.</t>
  </si>
  <si>
    <t xml:space="preserve">Must have (M)</t>
  </si>
  <si>
    <t xml:space="preserve">Område</t>
  </si>
  <si>
    <t xml:space="preserve">Krav</t>
  </si>
  <si>
    <t xml:space="preserve">Timer (lav)</t>
  </si>
  <si>
    <t xml:space="preserve">Timer (høj)</t>
  </si>
  <si>
    <t xml:space="preserve">Spilsløkke, tekstvindue, kommandoer, hjælp, se, ukendte kommandoer</t>
  </si>
  <si>
    <t xml:space="preserve">F4.1–4.2, F4.5–4.6, NF1, NF3</t>
  </si>
  <si>
    <t xml:space="preserve">Spiller, status, død</t>
  </si>
  <si>
    <t xml:space="preserve">F1</t>
  </si>
  <si>
    <t xml:space="preserve">Verden som graf, rum, udgange, bevægelse</t>
  </si>
  <si>
    <t xml:space="preserve">F3.1–3.6</t>
  </si>
  <si>
    <t xml:space="preserve">Inventory, genstande, potions, våben (tag, læg, brug, udrust)</t>
  </si>
  <si>
    <t xml:space="preserve">F2.1–2.3, F4.4, F8, F9.1–9.3, F10.1–10.2</t>
  </si>
  <si>
    <t xml:space="preserve">Kamp i runder, skade, fjender, loot, XP ved sejr</t>
  </si>
  <si>
    <t xml:space="preserve">F5 (M), F6.1, F6.4</t>
  </si>
  <si>
    <t xml:space="preserve">Mana og formularer</t>
  </si>
  <si>
    <t xml:space="preserve">F7.1–7.4</t>
  </si>
  <si>
    <t xml:space="preserve">XP og niveauer</t>
  </si>
  <si>
    <t xml:space="preserve">F11.1–11.2</t>
  </si>
  <si>
    <t xml:space="preserve">Fasttravel</t>
  </si>
  <si>
    <t xml:space="preserve">F12.1</t>
  </si>
  <si>
    <t xml:space="preserve">Strategivalg og engangsvalg</t>
  </si>
  <si>
    <t xml:space="preserve">F13.1–13.5</t>
  </si>
  <si>
    <t xml:space="preserve">Sejr og afslutningstekst</t>
  </si>
  <si>
    <t xml:space="preserve">F14</t>
  </si>
  <si>
    <t xml:space="preserve">Terning</t>
  </si>
  <si>
    <t xml:space="preserve">F15.1–15.3</t>
  </si>
  <si>
    <t xml:space="preserve">Indhold (rum, fjender, tekster)</t>
  </si>
  <si>
    <t xml:space="preserve">–</t>
  </si>
  <si>
    <t xml:space="preserve">Test og fejlretning</t>
  </si>
  <si>
    <t xml:space="preserve">I alt</t>
  </si>
  <si>
    <t xml:space="preserve">Should have (S)</t>
  </si>
  <si>
    <t xml:space="preserve">Gem og indlæs (JSON), adskilte spiller- og verdensdata</t>
  </si>
  <si>
    <t xml:space="preserve">Ø1–Ø3</t>
  </si>
  <si>
    <t xml:space="preserve">Verden indlæst fra datafil</t>
  </si>
  <si>
    <t xml:space="preserve">F3.9</t>
  </si>
  <si>
    <t xml:space="preserve">Slutboss</t>
  </si>
  <si>
    <t xml:space="preserve">F6.5</t>
  </si>
  <si>
    <t xml:space="preserve">Fasttravel-liste, oplåsning, spærret under kamp</t>
  </si>
  <si>
    <t xml:space="preserve">F12.2–12.4</t>
  </si>
  <si>
    <t xml:space="preserve">Flugt, potions i kamp, ingen udgang under kamp</t>
  </si>
  <si>
    <t xml:space="preserve">F5.5, F5.8, F3.7</t>
  </si>
  <si>
    <t xml:space="preserve">undersøg, formularer, kapacitet, fjendetyper, niveau-bonusser, terningfordeling</t>
  </si>
  <si>
    <t xml:space="preserve">F4.3, F7.6, F2.4, F6.2, F11.3, F15.4</t>
  </si>
  <si>
    <t xml:space="preserve">Could have (C)</t>
  </si>
  <si>
    <t xml:space="preserve">Grafisk kort</t>
  </si>
  <si>
    <t xml:space="preserve">NF8</t>
  </si>
  <si>
    <t xml:space="preserve">NPC'er</t>
  </si>
  <si>
    <t xml:space="preserve">F4.7</t>
  </si>
  <si>
    <t xml:space="preserve">Låste udgange og nøgler</t>
  </si>
  <si>
    <t xml:space="preserve">F3.8</t>
  </si>
  <si>
    <t xml:space="preserve">Træning og opgraderinger</t>
  </si>
  <si>
    <t xml:space="preserve">F11.4</t>
  </si>
  <si>
    <t xml:space="preserve">Valg påvirker slutningen</t>
  </si>
  <si>
    <t xml:space="preserve">F13.6</t>
  </si>
  <si>
    <t xml:space="preserve">Resten: korte kommandoer, aggressive fjender, genopstå, mana-regeneration, potion-størrelser, våbenbonus til magi, terningmodifikatorer, mana-pris for rejse, samlet visning</t>
  </si>
  <si>
    <t xml:space="preserve">diverse</t>
  </si>
  <si>
    <t xml:space="preserve">Samlet omfang</t>
  </si>
  <si>
    <t xml:space="preserve">Omfang</t>
  </si>
  <si>
    <t xml:space="preserve">Kun Must</t>
  </si>
  <si>
    <t xml:space="preserve">Must + Should</t>
  </si>
  <si>
    <t xml:space="preserve">Alt (M+S+C)</t>
  </si>
  <si>
    <t xml:space="preserve">Omregnet til uger</t>
  </si>
  <si>
    <t xml:space="preserve">Gule celler er antagelser, som kan rettes. Ugetal er rundet op til hele uger.</t>
  </si>
  <si>
    <t xml:space="preserve">Timer pr. uge i gennemsnit</t>
  </si>
  <si>
    <t xml:space="preserve">(5 + 3) / 2 timer, jf. jeres skema</t>
  </si>
  <si>
    <t xml:space="preserve">Effektiv andel af skemalagt tid</t>
  </si>
  <si>
    <t xml:space="preserve">Opstart, ventetid på hjælp mv. trækker ca. 25 % fra</t>
  </si>
  <si>
    <t xml:space="preserve">Koordineringstab i grupper</t>
  </si>
  <si>
    <t xml:space="preserve">Fratrækkes kun ved mere end 1 person</t>
  </si>
  <si>
    <t xml:space="preserve">Gruppestørrelse (personer)</t>
  </si>
  <si>
    <t xml:space="preserve">Effektive udviklertimer pr. uge</t>
  </si>
  <si>
    <t xml:space="preserve">Timer</t>
  </si>
  <si>
    <t xml:space="preserve">Sådan bør I planlægge</t>
  </si>
  <si>
    <t xml:space="preserve">Start med Must og i den rigtige rækkefølge: spilsløkke, kommandoer, rum og spiller først. De første 2–3 uger kan ikke deles helt ud parallelt.</t>
  </si>
  <si>
    <t xml:space="preserve">Behandl Should og Could som buffer: planlæg ud fra Must + Should. Gem/indlæs og verden fra datafil giver mest værdi af Should-kravene. Kortet (NF8) er det dyreste Could-krav og det første, I kan droppe.</t>
  </si>
  <si>
    <t xml:space="preserve">Klassediagrammet dækker hele scopet, også Could-ting som NPC, kort, nøgler og genopstå. Implementér kun Must-klasser og -metoder i første omgang.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</si>
</sst>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4"/>
    <col collapsed="false" customWidth="true" hidden="false" outlineLevel="0" max="4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26.85" hidden="false" customHeight="false" outlineLevel="0" collapsed="false">
      <c r="A6" s="6" t="s">
        <v>7</v>
      </c>
      <c r="B6" s="6" t="s">
        <v>8</v>
      </c>
      <c r="C6" s="7" t="n">
        <v>8</v>
      </c>
      <c r="D6" s="7" t="n">
        <v>12</v>
      </c>
    </row>
    <row r="7" customFormat="false" ht="15" hidden="false" customHeight="false" outlineLevel="0" collapsed="false">
      <c r="A7" s="6" t="s">
        <v>9</v>
      </c>
      <c r="B7" s="6" t="s">
        <v>10</v>
      </c>
      <c r="C7" s="7" t="n">
        <v>4</v>
      </c>
      <c r="D7" s="7" t="n">
        <v>6</v>
      </c>
    </row>
    <row r="8" customFormat="false" ht="15" hidden="false" customHeight="false" outlineLevel="0" collapsed="false">
      <c r="A8" s="6" t="s">
        <v>11</v>
      </c>
      <c r="B8" s="6" t="s">
        <v>12</v>
      </c>
      <c r="C8" s="7" t="n">
        <v>6</v>
      </c>
      <c r="D8" s="7" t="n">
        <v>8</v>
      </c>
    </row>
    <row r="9" customFormat="false" ht="26.85" hidden="false" customHeight="false" outlineLevel="0" collapsed="false">
      <c r="A9" s="6" t="s">
        <v>13</v>
      </c>
      <c r="B9" s="6" t="s">
        <v>14</v>
      </c>
      <c r="C9" s="7" t="n">
        <v>7</v>
      </c>
      <c r="D9" s="7" t="n">
        <v>10</v>
      </c>
    </row>
    <row r="10" customFormat="false" ht="15" hidden="false" customHeight="false" outlineLevel="0" collapsed="false">
      <c r="A10" s="6" t="s">
        <v>15</v>
      </c>
      <c r="B10" s="6" t="s">
        <v>16</v>
      </c>
      <c r="C10" s="7" t="n">
        <v>10</v>
      </c>
      <c r="D10" s="7" t="n">
        <v>14</v>
      </c>
    </row>
    <row r="11" customFormat="false" ht="15" hidden="false" customHeight="false" outlineLevel="0" collapsed="false">
      <c r="A11" s="6" t="s">
        <v>17</v>
      </c>
      <c r="B11" s="6" t="s">
        <v>18</v>
      </c>
      <c r="C11" s="7" t="n">
        <v>3</v>
      </c>
      <c r="D11" s="7" t="n">
        <v>4</v>
      </c>
    </row>
    <row r="12" customFormat="false" ht="15" hidden="false" customHeight="false" outlineLevel="0" collapsed="false">
      <c r="A12" s="6" t="s">
        <v>19</v>
      </c>
      <c r="B12" s="6" t="s">
        <v>20</v>
      </c>
      <c r="C12" s="7" t="n">
        <v>2</v>
      </c>
      <c r="D12" s="7" t="n">
        <v>3</v>
      </c>
    </row>
    <row r="13" customFormat="false" ht="15" hidden="false" customHeight="false" outlineLevel="0" collapsed="false">
      <c r="A13" s="6" t="s">
        <v>21</v>
      </c>
      <c r="B13" s="6" t="s">
        <v>22</v>
      </c>
      <c r="C13" s="7" t="n">
        <v>2</v>
      </c>
      <c r="D13" s="7" t="n">
        <v>3</v>
      </c>
    </row>
    <row r="14" customFormat="false" ht="15" hidden="false" customHeight="false" outlineLevel="0" collapsed="false">
      <c r="A14" s="6" t="s">
        <v>23</v>
      </c>
      <c r="B14" s="6" t="s">
        <v>24</v>
      </c>
      <c r="C14" s="7" t="n">
        <v>5</v>
      </c>
      <c r="D14" s="7" t="n">
        <v>7</v>
      </c>
    </row>
    <row r="15" customFormat="false" ht="15" hidden="false" customHeight="false" outlineLevel="0" collapsed="false">
      <c r="A15" s="6" t="s">
        <v>25</v>
      </c>
      <c r="B15" s="6" t="s">
        <v>26</v>
      </c>
      <c r="C15" s="7" t="n">
        <v>1</v>
      </c>
      <c r="D15" s="7" t="n">
        <v>2</v>
      </c>
    </row>
    <row r="16" customFormat="false" ht="15" hidden="false" customHeight="false" outlineLevel="0" collapsed="false">
      <c r="A16" s="6" t="s">
        <v>27</v>
      </c>
      <c r="B16" s="6" t="s">
        <v>28</v>
      </c>
      <c r="C16" s="7" t="n">
        <v>2</v>
      </c>
      <c r="D16" s="7" t="n">
        <v>3</v>
      </c>
    </row>
    <row r="17" customFormat="false" ht="15" hidden="false" customHeight="false" outlineLevel="0" collapsed="false">
      <c r="A17" s="6" t="s">
        <v>29</v>
      </c>
      <c r="B17" s="6" t="s">
        <v>30</v>
      </c>
      <c r="C17" s="7" t="n">
        <v>4</v>
      </c>
      <c r="D17" s="7" t="n">
        <v>6</v>
      </c>
    </row>
    <row r="18" customFormat="false" ht="15" hidden="false" customHeight="false" outlineLevel="0" collapsed="false">
      <c r="A18" s="6" t="s">
        <v>31</v>
      </c>
      <c r="B18" s="6" t="s">
        <v>30</v>
      </c>
      <c r="C18" s="7" t="n">
        <v>8</v>
      </c>
      <c r="D18" s="7" t="n">
        <v>12</v>
      </c>
    </row>
    <row r="19" customFormat="false" ht="15" hidden="false" customHeight="false" outlineLevel="0" collapsed="false">
      <c r="A19" s="8" t="s">
        <v>32</v>
      </c>
      <c r="B19" s="9"/>
      <c r="C19" s="8" t="n">
        <f aca="false">SUM(C6:C18)</f>
        <v>62</v>
      </c>
      <c r="D19" s="8" t="n">
        <f aca="false">SUM(D6:D18)</f>
        <v>90</v>
      </c>
    </row>
    <row r="21" customFormat="false" ht="15" hidden="false" customHeight="false" outlineLevel="0" collapsed="false">
      <c r="A21" s="10" t="s">
        <v>33</v>
      </c>
      <c r="B21" s="11"/>
      <c r="C21" s="11"/>
      <c r="D21" s="11"/>
    </row>
    <row r="22" customFormat="false" ht="15" hidden="false" customHeight="false" outlineLevel="0" collapsed="false">
      <c r="A22" s="5" t="s">
        <v>3</v>
      </c>
      <c r="B22" s="5" t="s">
        <v>4</v>
      </c>
      <c r="C22" s="5" t="s">
        <v>5</v>
      </c>
      <c r="D22" s="5" t="s">
        <v>6</v>
      </c>
    </row>
    <row r="23" customFormat="false" ht="15" hidden="false" customHeight="false" outlineLevel="0" collapsed="false">
      <c r="A23" s="6" t="s">
        <v>34</v>
      </c>
      <c r="B23" s="6" t="s">
        <v>35</v>
      </c>
      <c r="C23" s="7" t="n">
        <v>5</v>
      </c>
      <c r="D23" s="7" t="n">
        <v>8</v>
      </c>
    </row>
    <row r="24" customFormat="false" ht="15" hidden="false" customHeight="false" outlineLevel="0" collapsed="false">
      <c r="A24" s="6" t="s">
        <v>36</v>
      </c>
      <c r="B24" s="6" t="s">
        <v>37</v>
      </c>
      <c r="C24" s="7" t="n">
        <v>4</v>
      </c>
      <c r="D24" s="7" t="n">
        <v>6</v>
      </c>
    </row>
    <row r="25" customFormat="false" ht="15" hidden="false" customHeight="false" outlineLevel="0" collapsed="false">
      <c r="A25" s="6" t="s">
        <v>38</v>
      </c>
      <c r="B25" s="6" t="s">
        <v>39</v>
      </c>
      <c r="C25" s="7" t="n">
        <v>3</v>
      </c>
      <c r="D25" s="7" t="n">
        <v>4</v>
      </c>
    </row>
    <row r="26" customFormat="false" ht="15" hidden="false" customHeight="false" outlineLevel="0" collapsed="false">
      <c r="A26" s="6" t="s">
        <v>40</v>
      </c>
      <c r="B26" s="6" t="s">
        <v>41</v>
      </c>
      <c r="C26" s="7" t="n">
        <v>2</v>
      </c>
      <c r="D26" s="7" t="n">
        <v>2</v>
      </c>
    </row>
    <row r="27" customFormat="false" ht="15" hidden="false" customHeight="false" outlineLevel="0" collapsed="false">
      <c r="A27" s="6" t="s">
        <v>42</v>
      </c>
      <c r="B27" s="6" t="s">
        <v>43</v>
      </c>
      <c r="C27" s="7" t="n">
        <v>2</v>
      </c>
      <c r="D27" s="7" t="n">
        <v>3</v>
      </c>
    </row>
    <row r="28" customFormat="false" ht="26.85" hidden="false" customHeight="false" outlineLevel="0" collapsed="false">
      <c r="A28" s="6" t="s">
        <v>44</v>
      </c>
      <c r="B28" s="6" t="s">
        <v>45</v>
      </c>
      <c r="C28" s="7" t="n">
        <v>4</v>
      </c>
      <c r="D28" s="7" t="n">
        <v>5</v>
      </c>
    </row>
    <row r="29" customFormat="false" ht="15" hidden="false" customHeight="false" outlineLevel="0" collapsed="false">
      <c r="A29" s="8" t="s">
        <v>32</v>
      </c>
      <c r="B29" s="9"/>
      <c r="C29" s="8" t="n">
        <f aca="false">SUM(C23:C28)</f>
        <v>20</v>
      </c>
      <c r="D29" s="8" t="n">
        <f aca="false">SUM(D23:D28)</f>
        <v>28</v>
      </c>
    </row>
    <row r="31" customFormat="false" ht="15" hidden="false" customHeight="false" outlineLevel="0" collapsed="false">
      <c r="A31" s="12" t="s">
        <v>46</v>
      </c>
      <c r="B31" s="13"/>
      <c r="C31" s="13"/>
      <c r="D31" s="13"/>
    </row>
    <row r="32" customFormat="false" ht="15" hidden="false" customHeight="false" outlineLevel="0" collapsed="false">
      <c r="A32" s="5" t="s">
        <v>3</v>
      </c>
      <c r="B32" s="5" t="s">
        <v>4</v>
      </c>
      <c r="C32" s="5" t="s">
        <v>5</v>
      </c>
      <c r="D32" s="5" t="s">
        <v>6</v>
      </c>
    </row>
    <row r="33" customFormat="false" ht="15" hidden="false" customHeight="false" outlineLevel="0" collapsed="false">
      <c r="A33" s="6" t="s">
        <v>47</v>
      </c>
      <c r="B33" s="6" t="s">
        <v>48</v>
      </c>
      <c r="C33" s="7" t="n">
        <v>4</v>
      </c>
      <c r="D33" s="7" t="n">
        <v>6</v>
      </c>
    </row>
    <row r="34" customFormat="false" ht="15" hidden="false" customHeight="false" outlineLevel="0" collapsed="false">
      <c r="A34" s="6" t="s">
        <v>49</v>
      </c>
      <c r="B34" s="6" t="s">
        <v>50</v>
      </c>
      <c r="C34" s="7" t="n">
        <v>2</v>
      </c>
      <c r="D34" s="7" t="n">
        <v>3</v>
      </c>
    </row>
    <row r="35" customFormat="false" ht="15" hidden="false" customHeight="false" outlineLevel="0" collapsed="false">
      <c r="A35" s="6" t="s">
        <v>51</v>
      </c>
      <c r="B35" s="6" t="s">
        <v>52</v>
      </c>
      <c r="C35" s="7" t="n">
        <v>2</v>
      </c>
      <c r="D35" s="7" t="n">
        <v>3</v>
      </c>
    </row>
    <row r="36" customFormat="false" ht="15" hidden="false" customHeight="false" outlineLevel="0" collapsed="false">
      <c r="A36" s="6" t="s">
        <v>53</v>
      </c>
      <c r="B36" s="6" t="s">
        <v>54</v>
      </c>
      <c r="C36" s="7" t="n">
        <v>2</v>
      </c>
      <c r="D36" s="7" t="n">
        <v>3</v>
      </c>
    </row>
    <row r="37" customFormat="false" ht="15" hidden="false" customHeight="false" outlineLevel="0" collapsed="false">
      <c r="A37" s="6" t="s">
        <v>55</v>
      </c>
      <c r="B37" s="6" t="s">
        <v>56</v>
      </c>
      <c r="C37" s="7" t="n">
        <v>2</v>
      </c>
      <c r="D37" s="7" t="n">
        <v>3</v>
      </c>
    </row>
    <row r="38" customFormat="false" ht="39.55" hidden="false" customHeight="false" outlineLevel="0" collapsed="false">
      <c r="A38" s="6" t="s">
        <v>57</v>
      </c>
      <c r="B38" s="6" t="s">
        <v>58</v>
      </c>
      <c r="C38" s="7" t="n">
        <v>6</v>
      </c>
      <c r="D38" s="7" t="n">
        <v>10</v>
      </c>
    </row>
    <row r="39" customFormat="false" ht="15" hidden="false" customHeight="false" outlineLevel="0" collapsed="false">
      <c r="A39" s="8" t="s">
        <v>32</v>
      </c>
      <c r="B39" s="9"/>
      <c r="C39" s="8" t="n">
        <f aca="false">SUM(C33:C38)</f>
        <v>18</v>
      </c>
      <c r="D39" s="8" t="n">
        <f aca="false">SUM(D33:D38)</f>
        <v>28</v>
      </c>
    </row>
    <row r="41" customFormat="false" ht="15" hidden="false" customHeight="false" outlineLevel="0" collapsed="false">
      <c r="A41" s="14" t="s">
        <v>59</v>
      </c>
    </row>
    <row r="42" customFormat="false" ht="15" hidden="false" customHeight="false" outlineLevel="0" collapsed="false">
      <c r="A42" s="5" t="s">
        <v>60</v>
      </c>
      <c r="B42" s="5"/>
      <c r="C42" s="5" t="s">
        <v>5</v>
      </c>
      <c r="D42" s="5" t="s">
        <v>6</v>
      </c>
    </row>
    <row r="43" customFormat="false" ht="15" hidden="false" customHeight="false" outlineLevel="0" collapsed="false">
      <c r="A43" s="15" t="s">
        <v>61</v>
      </c>
      <c r="B43" s="15"/>
      <c r="C43" s="16" t="n">
        <f aca="false">C19</f>
        <v>62</v>
      </c>
      <c r="D43" s="16" t="n">
        <f aca="false">D19</f>
        <v>90</v>
      </c>
    </row>
    <row r="44" customFormat="false" ht="15" hidden="false" customHeight="false" outlineLevel="0" collapsed="false">
      <c r="A44" s="15" t="s">
        <v>62</v>
      </c>
      <c r="B44" s="15"/>
      <c r="C44" s="16" t="n">
        <f aca="false">C19+C29</f>
        <v>82</v>
      </c>
      <c r="D44" s="16" t="n">
        <f aca="false">D19+D29</f>
        <v>118</v>
      </c>
    </row>
    <row r="45" customFormat="false" ht="15" hidden="false" customHeight="false" outlineLevel="0" collapsed="false">
      <c r="A45" s="15" t="s">
        <v>63</v>
      </c>
      <c r="B45" s="15"/>
      <c r="C45" s="16" t="n">
        <f aca="false">C19+C29+C39</f>
        <v>100</v>
      </c>
      <c r="D45" s="16" t="n">
        <f aca="false">D19+D29+D39</f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8" min="3" style="0" width="15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17" t="s">
        <v>66</v>
      </c>
      <c r="B4" s="18" t="n">
        <v>4</v>
      </c>
      <c r="C4" s="2" t="s">
        <v>67</v>
      </c>
    </row>
    <row r="5" customFormat="false" ht="15" hidden="false" customHeight="false" outlineLevel="0" collapsed="false">
      <c r="A5" s="17" t="s">
        <v>68</v>
      </c>
      <c r="B5" s="19" t="n">
        <v>0.75</v>
      </c>
      <c r="C5" s="2" t="s">
        <v>69</v>
      </c>
    </row>
    <row r="6" customFormat="false" ht="15" hidden="false" customHeight="false" outlineLevel="0" collapsed="false">
      <c r="A6" s="17" t="s">
        <v>70</v>
      </c>
      <c r="B6" s="19" t="n">
        <v>0.2</v>
      </c>
      <c r="C6" s="2" t="s">
        <v>71</v>
      </c>
    </row>
    <row r="8" customFormat="false" ht="15" hidden="false" customHeight="false" outlineLevel="0" collapsed="false">
      <c r="A8" s="20" t="s">
        <v>72</v>
      </c>
      <c r="C8" s="21" t="n">
        <v>1</v>
      </c>
      <c r="E8" s="21" t="n">
        <v>3</v>
      </c>
      <c r="G8" s="21" t="n">
        <v>4</v>
      </c>
    </row>
    <row r="9" customFormat="false" ht="15" hidden="false" customHeight="false" outlineLevel="0" collapsed="false">
      <c r="A9" s="17" t="s">
        <v>73</v>
      </c>
      <c r="C9" s="22" t="n">
        <f aca="false">C8*$B$4*$B$5*IF(C8&gt;1,1-$B$6,1)</f>
        <v>3</v>
      </c>
      <c r="E9" s="22" t="n">
        <f aca="false">E8*$B$4*$B$5*IF(E8&gt;1,1-$B$6,1)</f>
        <v>7.2</v>
      </c>
      <c r="G9" s="22" t="n">
        <f aca="false">G8*$B$4*$B$5*IF(G8&gt;1,1-$B$6,1)</f>
        <v>9.6</v>
      </c>
    </row>
    <row r="11" customFormat="false" ht="15" hidden="false" customHeight="false" outlineLevel="0" collapsed="false">
      <c r="A11" s="23" t="s">
        <v>60</v>
      </c>
      <c r="B11" s="23" t="s">
        <v>74</v>
      </c>
      <c r="C11" s="23" t="str">
        <f aca="false">"Uger ("&amp;C8&amp;" pers., fra–til)"</f>
        <v>Uger (1 pers., fra–til)</v>
      </c>
      <c r="D11" s="23"/>
      <c r="E11" s="23" t="str">
        <f aca="false">"Uger ("&amp;E8&amp;" pers., fra–til)"</f>
        <v>Uger (3 pers., fra–til)</v>
      </c>
      <c r="F11" s="23"/>
      <c r="G11" s="23" t="str">
        <f aca="false">"Uger ("&amp;G8&amp;" pers., fra–til)"</f>
        <v>Uger (4 pers., fra–til)</v>
      </c>
      <c r="H11" s="23"/>
    </row>
    <row r="12" customFormat="false" ht="15" hidden="false" customHeight="false" outlineLevel="0" collapsed="false">
      <c r="A12" s="16" t="s">
        <v>61</v>
      </c>
      <c r="B12" s="24" t="str">
        <f aca="false">'Krav og timer'!C43&amp;"–"&amp;'Krav og timer'!D43</f>
        <v>62–90</v>
      </c>
      <c r="C12" s="25" t="n">
        <f aca="false">ROUNDUP('Krav og timer'!C43/C$9,0)</f>
        <v>21</v>
      </c>
      <c r="D12" s="25" t="n">
        <f aca="false">ROUNDUP('Krav og timer'!D43/C$9,0)</f>
        <v>30</v>
      </c>
      <c r="E12" s="25" t="n">
        <f aca="false">ROUNDUP('Krav og timer'!C43/E$9,0)</f>
        <v>9</v>
      </c>
      <c r="F12" s="25" t="n">
        <f aca="false">ROUNDUP('Krav og timer'!D43/E$9,0)</f>
        <v>13</v>
      </c>
      <c r="G12" s="25" t="n">
        <f aca="false">ROUNDUP('Krav og timer'!C43/G$9,0)</f>
        <v>7</v>
      </c>
      <c r="H12" s="25" t="n">
        <f aca="false">ROUNDUP('Krav og timer'!D43/G$9,0)</f>
        <v>10</v>
      </c>
    </row>
    <row r="13" customFormat="false" ht="15" hidden="false" customHeight="false" outlineLevel="0" collapsed="false">
      <c r="A13" s="16" t="s">
        <v>62</v>
      </c>
      <c r="B13" s="24" t="str">
        <f aca="false">'Krav og timer'!C44&amp;"–"&amp;'Krav og timer'!D44</f>
        <v>82–118</v>
      </c>
      <c r="C13" s="25" t="n">
        <f aca="false">ROUNDUP('Krav og timer'!C44/C$9,0)</f>
        <v>28</v>
      </c>
      <c r="D13" s="25" t="n">
        <f aca="false">ROUNDUP('Krav og timer'!D44/C$9,0)</f>
        <v>40</v>
      </c>
      <c r="E13" s="25" t="n">
        <f aca="false">ROUNDUP('Krav og timer'!C44/E$9,0)</f>
        <v>12</v>
      </c>
      <c r="F13" s="25" t="n">
        <f aca="false">ROUNDUP('Krav og timer'!D44/E$9,0)</f>
        <v>17</v>
      </c>
      <c r="G13" s="25" t="n">
        <f aca="false">ROUNDUP('Krav og timer'!C44/G$9,0)</f>
        <v>9</v>
      </c>
      <c r="H13" s="25" t="n">
        <f aca="false">ROUNDUP('Krav og timer'!D44/G$9,0)</f>
        <v>13</v>
      </c>
    </row>
    <row r="14" customFormat="false" ht="15" hidden="false" customHeight="false" outlineLevel="0" collapsed="false">
      <c r="A14" s="16" t="s">
        <v>63</v>
      </c>
      <c r="B14" s="24" t="str">
        <f aca="false">'Krav og timer'!C45&amp;"–"&amp;'Krav og timer'!D45</f>
        <v>100–146</v>
      </c>
      <c r="C14" s="25" t="n">
        <f aca="false">ROUNDUP('Krav og timer'!C45/C$9,0)</f>
        <v>34</v>
      </c>
      <c r="D14" s="25" t="n">
        <f aca="false">ROUNDUP('Krav og timer'!D45/C$9,0)</f>
        <v>49</v>
      </c>
      <c r="E14" s="25" t="n">
        <f aca="false">ROUNDUP('Krav og timer'!C45/E$9,0)</f>
        <v>14</v>
      </c>
      <c r="F14" s="25" t="n">
        <f aca="false">ROUNDUP('Krav og timer'!D45/E$9,0)</f>
        <v>21</v>
      </c>
      <c r="G14" s="25" t="n">
        <f aca="false">ROUNDUP('Krav og timer'!C45/G$9,0)</f>
        <v>11</v>
      </c>
      <c r="H14" s="25" t="n">
        <f aca="false">ROUNDUP('Krav og timer'!D45/G$9,0)</f>
        <v>16</v>
      </c>
    </row>
    <row r="16" customFormat="false" ht="15" hidden="false" customHeight="false" outlineLevel="0" collapsed="false">
      <c r="A16" s="14" t="s">
        <v>75</v>
      </c>
    </row>
    <row r="17" customFormat="false" ht="31.5" hidden="false" customHeight="true" outlineLevel="0" collapsed="false">
      <c r="A17" s="26" t="s">
        <v>76</v>
      </c>
      <c r="B17" s="26"/>
      <c r="C17" s="26"/>
      <c r="D17" s="26"/>
      <c r="E17" s="26"/>
      <c r="F17" s="26"/>
      <c r="G17" s="26"/>
      <c r="H17" s="26"/>
    </row>
    <row r="18" customFormat="false" ht="31.5" hidden="false" customHeight="true" outlineLevel="0" collapsed="false">
      <c r="A18" s="26" t="s">
        <v>77</v>
      </c>
      <c r="B18" s="26"/>
      <c r="C18" s="26"/>
      <c r="D18" s="26"/>
      <c r="E18" s="26"/>
      <c r="F18" s="26"/>
      <c r="G18" s="26"/>
      <c r="H18" s="26"/>
    </row>
    <row r="19" customFormat="false" ht="31.5" hidden="false" customHeight="true" outlineLevel="0" collapsed="false">
      <c r="A19" s="26" t="s">
        <v>78</v>
      </c>
      <c r="B19" s="26"/>
      <c r="C19" s="26"/>
      <c r="D19" s="26"/>
      <c r="E19" s="26"/>
      <c r="F19" s="26"/>
      <c r="G19" s="26"/>
      <c r="H19" s="26"/>
    </row>
  </sheetData>
  <mergeCells count="6">
    <mergeCell ref="C11:D11"/>
    <mergeCell ref="E11:F11"/>
    <mergeCell ref="G11:H11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2026-10-26T12:17:20Z</dcterms:created>
  <dc:creator>openpyxl</dc:creator>
  <dc:description/>
  <dc:language>en-US</dc:language>
  <cp:lastModifiedBy/>
  <dcterms:modified xsi:type="dcterms:W3CDTF">2026-10-26T12:17:20Z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